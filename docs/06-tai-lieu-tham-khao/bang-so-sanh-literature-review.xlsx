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 dan" sheetId="1" state="visible" r:id="rId3"/>
    <sheet name="Bang so san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<sst xmlns="http://schemas.openxmlformats.org/spreadsheetml/2006/main" count="150" uniqueCount="120">
  <si>
    <t xml:space="preserve">BẢNG THEO DÕI LITERATURE REVIEW — HƯỚNG DẪN SỬ DỤNG</t>
  </si>
  <si>
    <t xml:space="preserve">Mục đích: mỗi bài báo đọc được trích xuất thành 1 dòng trong sheet 'Bang so sanh', theo cùng</t>
  </si>
  <si>
    <t xml:space="preserve">một bộ cột — giúp so sánh nhanh giữa các bài và dễ viết phần Related Work sau này.</t>
  </si>
  <si>
    <t xml:space="preserve">CÁCH DÙNG:</t>
  </si>
  <si>
    <t xml:space="preserve">1. Mỗi khi tìm được 1 bài báo mới liên quan, thêm 1 dòng mới vào sheet 'Bang so sanh'.</t>
  </si>
  <si>
    <t xml:space="preserve">2. Cột 'Trang thai' và 'Nguoi phu trach' đã có sẵn dropdown — bấm vào ô để chọn, không gõ tay.</t>
  </si>
  <si>
    <t xml:space="preserve">3. Đọc Abstract trước -&gt; điền các cột cơ bản (Tac gia, Nam, Venue, Bo du lieu) -&gt; đặt Trạng thái</t>
  </si>
  <si>
    <t xml:space="preserve">   = 'Dang doc'.</t>
  </si>
  <si>
    <t xml:space="preserve">4. Khi đọc xong full-text -&gt; điền đầy đủ các cột còn lại (Phuong phap XAI, Ket qua chinh,</t>
  </si>
  <si>
    <t xml:space="preserve">   Han che, Khoang trong lien quan) -&gt; đặt Trạng thái = 'Da trich xuat'.</t>
  </si>
  <si>
    <t xml:space="preserve">5. Khi đã đưa vào bản thảo phần Related Work -&gt; đặt Trạng thái = 'Da viet vao Related Work'.</t>
  </si>
  <si>
    <t xml:space="preserve">6. 6 dòng đầu tiên trong sheet 'Bang so sanh' là 6 bài đã tìm được trước đó — dùng làm ví dụ</t>
  </si>
  <si>
    <t xml:space="preserve">   mẫu về mức độ chi tiết cần điền, một số ô còn ghi 'Can doc full-text' vì mới chỉ có abstract.</t>
  </si>
  <si>
    <t xml:space="preserve">GIẢI THÍCH CÁC CỘT:</t>
  </si>
  <si>
    <t xml:space="preserve">- Dinh nghia Churn/Window: bài đó định nghĩa churn thế nào (bao nhiêu ngày im lặng, hay dùng</t>
  </si>
  <si>
    <t xml:space="preserve">  contractual churn có sẵn nhãn).</t>
  </si>
  <si>
    <t xml:space="preserve">- Feature Engineering: loại đặc trưng dùng (RFM? hành vi theo thời gian? demographic?).</t>
  </si>
  <si>
    <t xml:space="preserve">- Cong cu/Thu vien: thư viện/ngôn ngữ họ dùng (Python/R, scikit-learn, SHAP...) — hữu ích để</t>
  </si>
  <si>
    <t xml:space="preserve">  biết công cụ nào đã phổ biến trong lĩnh vực này.</t>
  </si>
  <si>
    <t xml:space="preserve">- Khoang trong lien quan de tai: điểm bài đó CHƯA làm mà đề tài của bạn có thể lấp vào — đây</t>
  </si>
  <si>
    <t xml:space="preserve">  là cột quan trọng nhất để xây dựng phần 'Research Gap' trong Introduction.</t>
  </si>
  <si>
    <t xml:space="preserve">PHÂN CÔNG ĐỌC (gợi ý theo lộ trình nhóm 3 người):</t>
  </si>
  <si>
    <t xml:space="preserve">Người C chủ trì tổng hợp bảng, nhưng cả 3 người cùng đọc và tự điền dòng của mình — mỗi người</t>
  </si>
  <si>
    <t xml:space="preserve">phụ trách đọc sâu các bài liên quan trực tiếp đến mảng mình làm (A: dữ liệu/feature engineering,</t>
  </si>
  <si>
    <t xml:space="preserve">B: mô hình/XAI, C: phương pháp luận/tổng quan) để tận dụng chuyên môn đang xây dựng ở giai đoạn</t>
  </si>
  <si>
    <t xml:space="preserve">sau.</t>
  </si>
  <si>
    <t xml:space="preserve">Tong so bai:</t>
  </si>
  <si>
    <t xml:space="preserve">Da trich xuat:</t>
  </si>
  <si>
    <t xml:space="preserve">Dang doc:</t>
  </si>
  <si>
    <t xml:space="preserve">STT</t>
  </si>
  <si>
    <t xml:space="preserve">Tac gia</t>
  </si>
  <si>
    <t xml:space="preserve">Nam</t>
  </si>
  <si>
    <t xml:space="preserve">Ten bai bao</t>
  </si>
  <si>
    <t xml:space="preserve">Venue (Tap chi/Hoi nghi)</t>
  </si>
  <si>
    <t xml:space="preserve">Link/DOI</t>
  </si>
  <si>
    <t xml:space="preserve">Bo du lieu su dung</t>
  </si>
  <si>
    <t xml:space="preserve">Dinh nghia Churn / Window</t>
  </si>
  <si>
    <t xml:space="preserve">Phuong phap ML</t>
  </si>
  <si>
    <t xml:space="preserve">Phuong phap XAI</t>
  </si>
  <si>
    <t xml:space="preserve">Feature Engineering</t>
  </si>
  <si>
    <t xml:space="preserve">Metric danh gia</t>
  </si>
  <si>
    <t xml:space="preserve">Ket qua chinh</t>
  </si>
  <si>
    <t xml:space="preserve">Cong cu/Thu vien</t>
  </si>
  <si>
    <t xml:space="preserve">Han che neu trong bai</t>
  </si>
  <si>
    <t xml:space="preserve">Khoang trong lien quan de tai</t>
  </si>
  <si>
    <t xml:space="preserve">Trang thai</t>
  </si>
  <si>
    <t xml:space="preserve">Nguoi phu trach</t>
  </si>
  <si>
    <t xml:space="preserve">Ghi chu them</t>
  </si>
  <si>
    <t xml:space="preserve">Boukrouh &amp; Azmani</t>
  </si>
  <si>
    <t xml:space="preserve">Explainable machine learning models applied to predicting customer churn for e-commerce</t>
  </si>
  <si>
    <t xml:space="preserve">IAES Int. J. of Artificial Intelligence (IJ-AI), Vol 14 No 1, 2025</t>
  </si>
  <si>
    <t xml:space="preserve">https://ijai.iaescore.com/index.php/IJAI/article/view/25293</t>
  </si>
  <si>
    <t xml:space="preserve">Kaggle "Ecommerce Customer Churn" (A. Verma, 2020) - 2841 khach hang, 16 dac trung tinh san, KHONG phai du lieu giao dich tho</t>
  </si>
  <si>
    <t xml:space="preserve">KHONG dinh nghia churn theo window - dung nhan churn yes/no co san tu dataset, khong xu ly right-censoring</t>
  </si>
  <si>
    <t xml:space="preserve">Decision Tree, Random Forest, SVM, Logistic Regression, Naive Bayes, KNN, ANN (7 mo hinh); tune bang Grid Search toi uu Accuracy</t>
  </si>
  <si>
    <t xml:space="preserve">SHAP (Kernel SHAP cho ANN, Tree SHAP cho RF) - global; LIME - local, CHI ap dung cho ANN (mo hinh tot nhat)</t>
  </si>
  <si>
    <t xml:space="preserve">Khong co feature engineering nang cao (khong RFM, khong dac trung thoi gian) - dung thang 16 dac trung tinh san cua dataset</t>
  </si>
  <si>
    <t xml:space="preserve">Confusion matrix, Accuracy, Precision, Recall, F1-score (theo tung lop 0/1)</t>
  </si>
  <si>
    <t xml:space="preserve">ANN tot nhat: Acc 92.09%, P/R/F1 lop churn = 0.87/0.65/0.74. RF nhi: Acc 91.21%. NB kem nhat: Acc 75.04%. SVM: Precision churn=100% nhung Recall churn=5% (gan nhu khong bat duoc khach churn nao)</t>
  </si>
  <si>
    <t xml:space="preserve">Khong neu ro, suy doan Python + SHAP/LIME (co trich dan shap.readthedocs.io)</t>
  </si>
  <si>
    <t xml:space="preserve">Tu nhan: chi dung 1 dataset Kaggle duy nhat, can them nghien cuu tren nhieu dataset/nen tang khac de xac nhan tinh tong quat cua cac dac trung quan trong</t>
  </si>
  <si>
    <t xml:space="preserve">Khong tu dinh nghia churn theo window (dung nhan co san) - day la khoang trong LON NHAT de tai ban lap day. Khong co feature engineering hanh vi theo thoi gian. XAI chi ap dung 2/7 model, khong doi chieu SHAP vs LIME tren CUNG 1 model. Khong sensitivity analysis, khong kiem dinh thong ke.</t>
  </si>
  <si>
    <t xml:space="preserve">Da trich xuat</t>
  </si>
  <si>
    <t xml:space="preserve">C</t>
  </si>
  <si>
    <t xml:space="preserve">Da doc full-text (khong chi abstract) - xem chi tiet trong chat ngay dau tien lam vi du mau</t>
  </si>
  <si>
    <t xml:space="preserve">Tac gia (xem link)</t>
  </si>
  <si>
    <t xml:space="preserve">Customer Churn Prediction in E-Commerce Using ML Models for Digital Marketing Trends</t>
  </si>
  <si>
    <t xml:space="preserve">ACM ICBDEIM 2025</t>
  </si>
  <si>
    <t xml:space="preserve">https://dl.acm.org/doi/10.1145/3800000.3800153</t>
  </si>
  <si>
    <t xml:space="preserve">Can doc full-text de xac dinh</t>
  </si>
  <si>
    <t xml:space="preserve">Can doc full-text de trich xuat</t>
  </si>
  <si>
    <t xml:space="preserve">XGBoost</t>
  </si>
  <si>
    <t xml:space="preserve">SHAP, Partial Dependence Plot</t>
  </si>
  <si>
    <t xml:space="preserve">Dac trung moi 'Tenure Per Device' (hanh vi da thiet bi)</t>
  </si>
  <si>
    <t xml:space="preserve">Can doc full-text de trich xuat so lieu cu the</t>
  </si>
  <si>
    <t xml:space="preserve">Tham khao cach ket hop SMOTE + XGBoost + SHAP/PDP</t>
  </si>
  <si>
    <t xml:space="preserve">Chua doc</t>
  </si>
  <si>
    <t xml:space="preserve">B</t>
  </si>
  <si>
    <t xml:space="preserve">Tham khao phan feature engineering + explainability</t>
  </si>
  <si>
    <t xml:space="preserve">A novel hybrid deep learning framework for customer churn prediction using RFM and embedding clustering</t>
  </si>
  <si>
    <t xml:space="preserve">Scientific Reports</t>
  </si>
  <si>
    <t xml:space="preserve">https://www.nature.com/articles/s41598-026-53220-0</t>
  </si>
  <si>
    <t xml:space="preserve">Online Retail + 1 bo du lieu Events khac</t>
  </si>
  <si>
    <t xml:space="preserve">Co sensitivity analysis voi nguong 30/60/120 ngay</t>
  </si>
  <si>
    <t xml:space="preserve">Deep Embedded Clustering + GRU/LSTM</t>
  </si>
  <si>
    <t xml:space="preserve">Can doc full-text de xac dinh (co the khong co XAI ro rang)</t>
  </si>
  <si>
    <t xml:space="preserve">RFM</t>
  </si>
  <si>
    <t xml:space="preserve">Dung cung ho du lieu Online Retail -&gt; can neu ro lam baseline so sanh, khong trung dong gop</t>
  </si>
  <si>
    <t xml:space="preserve">A</t>
  </si>
  <si>
    <t xml:space="preserve">Cung dataset family — doc ky de tranh trung dong gop</t>
  </si>
  <si>
    <t xml:space="preserve">Enhancing customer retention in Online Retail through churn prediction: A hybrid RFM, K-means, and deep neural network approach</t>
  </si>
  <si>
    <t xml:space="preserve">Expert Systems with Applications (ScienceDirect)</t>
  </si>
  <si>
    <t xml:space="preserve">https://www.sciencedirect.com/science/article/abs/pii/S0957417425020846</t>
  </si>
  <si>
    <t xml:space="preserve">Olist (chinh), kiem chung them tren Instacart va Online Retail</t>
  </si>
  <si>
    <t xml:space="preserve">K-means + LSTM/GRU</t>
  </si>
  <si>
    <t xml:space="preserve">Huong dung nhieu bo du lieu de tang tinh tong quat — tham khao neu bo sung bo du lieu thu 2</t>
  </si>
  <si>
    <t xml:space="preserve">Tham khao neu chon huong bo sung dataset thu 2</t>
  </si>
  <si>
    <t xml:space="preserve">Ekanayake &amp; De Alwis</t>
  </si>
  <si>
    <t xml:space="preserve">Explainability, risk modeling, and segmentation based customer churn analytics for personalized retention in e-commerce</t>
  </si>
  <si>
    <t xml:space="preserve">arXiv preprint (cs.AI), v2 Jan 2026</t>
  </si>
  <si>
    <t xml:space="preserve">https://arxiv.org/abs/2510.11604</t>
  </si>
  <si>
    <t xml:space="preserve">CUNG bo Kaggle "Ecommerce Customer Churn" (A. Verma) nhu bai #1 - nhung bao cao 5630 khach hang/20 dac trung (KHAC voi 2841/16 cua bai #1 cung nguon!) - sau lam sach con 4807. Van la nhan co san, KHONG phai giao dich tho.</t>
  </si>
  <si>
    <t xml:space="preserve">KHONG dinh nghia churn theo window - dung nhan co san. RIENG PHAN survival analysis co mo hinh hoa time-to-event (Kaplan-Meier) nhung tren truc "tenure" co san, khong phai tu gan nhan tu du lieu giao dich thoi gian thuc</t>
  </si>
  <si>
    <t xml:space="preserve">5 mo hinh: LR, DT, RF, XGBoost, CatBoost. Chia 80:20 stratified sampling (KHONG phai time-based split)</t>
  </si>
  <si>
    <t xml:space="preserve">Tree SHAP (global importance + beeswarm + local) cho XGBoost (mo hinh tot nhat). Khong dung LIME. Co Kaplan-Meier survival curve rieng (Kaplan-Meier estimator).</t>
  </si>
  <si>
    <t xml:space="preserve">Khong feature engineering hanh vi tu giao dich - dung thang dac trung co san cua dataset (Tenure, Complain, CashbackAmount, SatisfactionScore...). RFM segmentation lam mot nhanh RIENG (khong merge vao model chinh)</t>
  </si>
  <si>
    <t xml:space="preserve">Accuracy, Precision, Recall, F1, Error Rate. Chon model theo Recall cao + on dinh train/test + std thap qua CV folds (khong neu ro PR-AUC)</t>
  </si>
  <si>
    <t xml:space="preserve">XGBoost tot nhat: Acc 96.4%, Precision 84.7%, Recall 95.2%, F1 89.6%. LR kem nhat: Recall chi 47.1%. SHAP: Tenure va CashbackAmount tuong quan AM voi churn (bao ve), Complain va DaySinceLastOrder tuong quan DUONG (rui ro). Kaplan-Meier: S(t) giam manh tu 0.95 (moi) xuong 0.86-0.88 (thang 6), on dinh dan ~0.76-0.78 sau thang 20</t>
  </si>
  <si>
    <t xml:space="preserve">Khong neu ro ngon ngu/thu vien cu the, chi trich dan ky thuat (Tree SHAP, Mahalanobis Distance cho outlier, Iterative Imputer cho missing data)</t>
  </si>
  <si>
    <t xml:space="preserve">Tu nhan manh: day la nghien cuu DAU TIEN (theo hieu biet cua tac gia) tich hop du bao + giai thich + mo hinh thoi gian + phan khuc trong 1 he thong thong nhat cho e-commerce. Tu thua nhan: "khong co tai lieu survival analysis nao cong bo cho e-commerce" truoc day - claim nay CHINH LA co so cho huong dong gop cua de tai ban</t>
  </si>
  <si>
    <t xml:space="preserve">QUAN TRONG NHAT: Ca bai nay lan bai #1 deu dung CUNG 1 dataset Kaggle co san nhan, khong phai giao dich tho nhu Online Retail II. Khong co bai nao tu dinh nghia churn qua window 3/6 thang tu du lieu giao dich thuc. Ca 2 bai deu KHONG dung time-based split (chi random stratified 80:20) - dung 1 diem thay giao vien nhan manh can sua. Khong co Business Decision Support tu dong (RFM segment o bai nay chi la khuyen nghi dinh tinh, khong phai bang Customer-&gt;Probability-&gt;Action tu dong). PHAT HIEN THEM: 2 bai dung "cung" 1 dataset nhung bao cao so luong khach hang khac nhau (2841 vs 5630) - dau hieu ve van de reproducibility trong lien vuc nay.</t>
  </si>
  <si>
    <t xml:space="preserve">Da doc full-text qua arxiv.org/html - day la bai QUAN TRONG NHAT cho huong dong gop moi (xem file nghien-cuu-gap-va-research-questions.md)</t>
  </si>
  <si>
    <t xml:space="preserve">A Fuzzy-XAI Framework for Customer Segmentation and Risk Detection: Integrating RFM, 2-Tuple Modeling, and Strategic Scoring</t>
  </si>
  <si>
    <t xml:space="preserve">Mathematics (MDPI)</t>
  </si>
  <si>
    <t xml:space="preserve">https://doi.org/10.3390/math13132141</t>
  </si>
  <si>
    <t xml:space="preserve">Fuzzy C-Means + XGBoost</t>
  </si>
  <si>
    <t xml:space="preserve">SHAP, LIME</t>
  </si>
  <si>
    <t xml:space="preserve">RFM chuan hoa + anh xa 2-tuple</t>
  </si>
  <si>
    <t xml:space="preserve">Huong mo rong explainability ngoai SHAP/LIME thong thuong (fuzzy scoring)</t>
  </si>
  <si>
    <t xml:space="preserve">Tham khao neu muon lam phong phu phan XAI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</si>
</sst>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7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9" min="8" style="1" width="22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18"/>
    <col collapsed="false" customWidth="true" hidden="false" outlineLevel="0" max="13" min="13" style="1" width="28"/>
    <col collapsed="false" customWidth="true" hidden="false" outlineLevel="0" max="14" min="14" style="1" width="20"/>
    <col collapsed="false" customWidth="true" hidden="false" outlineLevel="0" max="15" min="15" style="1" width="26"/>
    <col collapsed="false" customWidth="true" hidden="false" outlineLevel="0" max="16" min="16" style="1" width="28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24"/>
  </cols>
  <sheetData>
    <row r="1" customFormat="false" ht="15" hidden="false" customHeight="true" outlineLevel="0" collapsed="false">
      <c r="A1" s="4" t="s">
        <v>26</v>
      </c>
      <c r="B1" s="3" t="n">
        <f aca="false">COUNTA(B5:B1000)</f>
        <v>6</v>
      </c>
      <c r="C1" s="4" t="s">
        <v>27</v>
      </c>
      <c r="D1" s="3" t="n">
        <f aca="false">COUNTIF(Q5:Q1000,"Da trich xuat")</f>
        <v>2</v>
      </c>
      <c r="E1" s="4" t="s">
        <v>28</v>
      </c>
      <c r="F1" s="3" t="n">
        <f aca="false">COUNTIF(Q5:Q1000,"Dang doc")</f>
        <v>0</v>
      </c>
    </row>
    <row r="4" customFormat="false" ht="23.25" hidden="false" customHeight="tru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43</v>
      </c>
      <c r="P4" s="5" t="s">
        <v>44</v>
      </c>
      <c r="Q4" s="5" t="s">
        <v>45</v>
      </c>
      <c r="R4" s="5" t="s">
        <v>46</v>
      </c>
      <c r="S4" s="5" t="s">
        <v>47</v>
      </c>
    </row>
    <row r="5" customFormat="false" ht="45.75" hidden="false" customHeight="true" outlineLevel="0" collapsed="false">
      <c r="A5" s="6" t="n">
        <v>1</v>
      </c>
      <c r="B5" s="6" t="s">
        <v>48</v>
      </c>
      <c r="C5" s="6" t="n">
        <v>2024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 t="s">
        <v>60</v>
      </c>
      <c r="P5" s="6" t="s">
        <v>61</v>
      </c>
      <c r="Q5" s="6" t="s">
        <v>62</v>
      </c>
      <c r="R5" s="6" t="s">
        <v>63</v>
      </c>
      <c r="S5" s="6" t="s">
        <v>64</v>
      </c>
    </row>
    <row r="6" customFormat="false" ht="45.75" hidden="false" customHeight="true" outlineLevel="0" collapsed="false">
      <c r="A6" s="6" t="n">
        <v>2</v>
      </c>
      <c r="B6" s="6" t="s">
        <v>65</v>
      </c>
      <c r="C6" s="6" t="n">
        <v>2025</v>
      </c>
      <c r="D6" s="6" t="s">
        <v>66</v>
      </c>
      <c r="E6" s="6" t="s">
        <v>67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72</v>
      </c>
      <c r="K6" s="6" t="s">
        <v>73</v>
      </c>
      <c r="L6" s="6" t="s">
        <v>70</v>
      </c>
      <c r="M6" s="6" t="s">
        <v>74</v>
      </c>
      <c r="N6" s="6" t="s">
        <v>70</v>
      </c>
      <c r="O6" s="6" t="s">
        <v>70</v>
      </c>
      <c r="P6" s="6" t="s">
        <v>75</v>
      </c>
      <c r="Q6" s="6" t="s">
        <v>76</v>
      </c>
      <c r="R6" s="6" t="s">
        <v>77</v>
      </c>
      <c r="S6" s="6" t="s">
        <v>78</v>
      </c>
    </row>
    <row r="7" customFormat="false" ht="45.75" hidden="false" customHeight="true" outlineLevel="0" collapsed="false">
      <c r="A7" s="6" t="n">
        <v>3</v>
      </c>
      <c r="B7" s="6" t="s">
        <v>65</v>
      </c>
      <c r="C7" s="6" t="n">
        <v>2026</v>
      </c>
      <c r="D7" s="6" t="s">
        <v>79</v>
      </c>
      <c r="E7" s="6" t="s">
        <v>80</v>
      </c>
      <c r="F7" s="6" t="s">
        <v>81</v>
      </c>
      <c r="G7" s="6" t="s">
        <v>82</v>
      </c>
      <c r="H7" s="6" t="s">
        <v>83</v>
      </c>
      <c r="I7" s="6" t="s">
        <v>84</v>
      </c>
      <c r="J7" s="6" t="s">
        <v>85</v>
      </c>
      <c r="K7" s="6" t="s">
        <v>86</v>
      </c>
      <c r="L7" s="6" t="s">
        <v>70</v>
      </c>
      <c r="M7" s="6" t="s">
        <v>74</v>
      </c>
      <c r="N7" s="6" t="s">
        <v>70</v>
      </c>
      <c r="O7" s="6" t="s">
        <v>70</v>
      </c>
      <c r="P7" s="6" t="s">
        <v>87</v>
      </c>
      <c r="Q7" s="6" t="s">
        <v>76</v>
      </c>
      <c r="R7" s="6" t="s">
        <v>88</v>
      </c>
      <c r="S7" s="6" t="s">
        <v>89</v>
      </c>
    </row>
    <row r="8" customFormat="false" ht="68.25" hidden="false" customHeight="true" outlineLevel="0" collapsed="false">
      <c r="A8" s="6" t="n">
        <v>4</v>
      </c>
      <c r="B8" s="6" t="s">
        <v>65</v>
      </c>
      <c r="C8" s="6" t="n">
        <v>2025</v>
      </c>
      <c r="D8" s="6" t="s">
        <v>90</v>
      </c>
      <c r="E8" s="6" t="s">
        <v>91</v>
      </c>
      <c r="F8" s="6" t="s">
        <v>92</v>
      </c>
      <c r="G8" s="6" t="s">
        <v>93</v>
      </c>
      <c r="H8" s="6" t="s">
        <v>70</v>
      </c>
      <c r="I8" s="6" t="s">
        <v>94</v>
      </c>
      <c r="J8" s="6" t="s">
        <v>85</v>
      </c>
      <c r="K8" s="6" t="s">
        <v>86</v>
      </c>
      <c r="L8" s="6" t="s">
        <v>70</v>
      </c>
      <c r="M8" s="6" t="s">
        <v>74</v>
      </c>
      <c r="N8" s="6" t="s">
        <v>70</v>
      </c>
      <c r="O8" s="6" t="s">
        <v>70</v>
      </c>
      <c r="P8" s="6" t="s">
        <v>95</v>
      </c>
      <c r="Q8" s="6" t="s">
        <v>76</v>
      </c>
      <c r="R8" s="6" t="s">
        <v>88</v>
      </c>
      <c r="S8" s="6" t="s">
        <v>96</v>
      </c>
    </row>
    <row r="9" customFormat="false" ht="45.75" hidden="false" customHeight="true" outlineLevel="0" collapsed="false">
      <c r="A9" s="6" t="n">
        <v>5</v>
      </c>
      <c r="B9" s="6" t="s">
        <v>97</v>
      </c>
      <c r="C9" s="6" t="n">
        <v>2025</v>
      </c>
      <c r="D9" s="6" t="s">
        <v>98</v>
      </c>
      <c r="E9" s="6" t="s">
        <v>99</v>
      </c>
      <c r="F9" s="6" t="s">
        <v>100</v>
      </c>
      <c r="G9" s="6" t="s">
        <v>101</v>
      </c>
      <c r="H9" s="6" t="s">
        <v>102</v>
      </c>
      <c r="I9" s="6" t="s">
        <v>103</v>
      </c>
      <c r="J9" s="6" t="s">
        <v>104</v>
      </c>
      <c r="K9" s="6" t="s">
        <v>105</v>
      </c>
      <c r="L9" s="6" t="s">
        <v>106</v>
      </c>
      <c r="M9" s="6" t="s">
        <v>107</v>
      </c>
      <c r="N9" s="6" t="s">
        <v>108</v>
      </c>
      <c r="O9" s="6" t="s">
        <v>109</v>
      </c>
      <c r="P9" s="6" t="s">
        <v>110</v>
      </c>
      <c r="Q9" s="6" t="s">
        <v>62</v>
      </c>
      <c r="R9" s="6" t="s">
        <v>63</v>
      </c>
      <c r="S9" s="6" t="s">
        <v>111</v>
      </c>
    </row>
    <row r="10" customFormat="false" ht="45.75" hidden="false" customHeight="true" outlineLevel="0" collapsed="false">
      <c r="A10" s="6" t="n">
        <v>6</v>
      </c>
      <c r="B10" s="6" t="s">
        <v>65</v>
      </c>
      <c r="C10" s="6" t="n">
        <v>2025</v>
      </c>
      <c r="D10" s="6" t="s">
        <v>112</v>
      </c>
      <c r="E10" s="6" t="s">
        <v>113</v>
      </c>
      <c r="F10" s="6" t="s">
        <v>114</v>
      </c>
      <c r="G10" s="6" t="s">
        <v>69</v>
      </c>
      <c r="H10" s="6" t="s">
        <v>70</v>
      </c>
      <c r="I10" s="6" t="s">
        <v>115</v>
      </c>
      <c r="J10" s="6" t="s">
        <v>116</v>
      </c>
      <c r="K10" s="6" t="s">
        <v>117</v>
      </c>
      <c r="L10" s="6" t="s">
        <v>70</v>
      </c>
      <c r="M10" s="6" t="s">
        <v>74</v>
      </c>
      <c r="N10" s="6" t="s">
        <v>70</v>
      </c>
      <c r="O10" s="6" t="s">
        <v>70</v>
      </c>
      <c r="P10" s="6" t="s">
        <v>118</v>
      </c>
      <c r="Q10" s="6" t="s">
        <v>76</v>
      </c>
      <c r="R10" s="6" t="s">
        <v>77</v>
      </c>
      <c r="S10" s="6" t="s">
        <v>119</v>
      </c>
    </row>
    <row r="11" customFormat="false" ht="15" hidden="false" customHeight="true" outlineLevel="0" collapsed="false">
      <c r="A11" s="6" t="n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5" hidden="false" customHeight="true" outlineLevel="0" collapsed="false">
      <c r="A12" s="6" t="n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customFormat="false" ht="15" hidden="false" customHeight="true" outlineLevel="0" collapsed="false">
      <c r="A13" s="6" t="n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customFormat="false" ht="15" hidden="false" customHeight="true" outlineLevel="0" collapsed="false">
      <c r="A14" s="6" t="n">
        <v>10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customFormat="false" ht="15" hidden="false" customHeight="true" outlineLevel="0" collapsed="false">
      <c r="A15" s="6" t="n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customFormat="false" ht="15" hidden="false" customHeight="true" outlineLevel="0" collapsed="false">
      <c r="A16" s="6" t="n">
        <v>12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5" hidden="false" customHeight="true" outlineLevel="0" collapsed="false">
      <c r="A17" s="6" t="n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5" hidden="false" customHeight="true" outlineLevel="0" collapsed="false">
      <c r="A18" s="6" t="n">
        <v>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customFormat="false" ht="15" hidden="false" customHeight="true" outlineLevel="0" collapsed="false">
      <c r="A19" s="6" t="n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customFormat="false" ht="15" hidden="false" customHeight="true" outlineLevel="0" collapsed="false">
      <c r="A20" s="6" t="n">
        <v>16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customFormat="false" ht="15" hidden="false" customHeight="true" outlineLevel="0" collapsed="false">
      <c r="A21" s="6" t="n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customFormat="false" ht="15" hidden="false" customHeight="true" outlineLevel="0" collapsed="false">
      <c r="A22" s="6" t="n">
        <v>18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customFormat="false" ht="15" hidden="false" customHeight="true" outlineLevel="0" collapsed="false">
      <c r="A23" s="6" t="n">
        <v>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true" outlineLevel="0" collapsed="false">
      <c r="A24" s="6" t="n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customFormat="false" ht="15" hidden="false" customHeight="true" outlineLevel="0" collapsed="false">
      <c r="A25" s="6" t="n">
        <v>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customFormat="false" ht="15" hidden="false" customHeight="true" outlineLevel="0" collapsed="false">
      <c r="A26" s="6" t="n">
        <v>22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customFormat="false" ht="15" hidden="false" customHeight="true" outlineLevel="0" collapsed="false">
      <c r="A27" s="6" t="n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customFormat="false" ht="15" hidden="false" customHeight="true" outlineLevel="0" collapsed="false">
      <c r="A28" s="6" t="n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customFormat="false" ht="15" hidden="false" customHeight="true" outlineLevel="0" collapsed="false">
      <c r="A29" s="6" t="n">
        <v>25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dataValidations count="2">
    <dataValidation allowBlank="true" errorStyle="stop" operator="between" showDropDown="false" showErrorMessage="false" showInputMessage="false" sqref="Q5:Q29" type="list">
      <formula1>"Chua doc,Dang doc,Da trich xuat,Da viet vao Related Work"</formula1>
      <formula2>0</formula2>
    </dataValidation>
    <dataValidation allowBlank="true" errorStyle="stop" operator="between" showDropDown="false" showErrorMessage="false" showInputMessage="false" sqref="R5:R29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2026-09-07T08:22:03Z</dcterms:created>
  <dc:creator>openpyxl</dc:creator>
  <dc:description/>
  <dc:language>en-US</dc:language>
  <cp:lastModifiedBy/>
  <dcterms:modified xsi:type="dcterms:W3CDTF">2026-09-10T10:15:01Z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